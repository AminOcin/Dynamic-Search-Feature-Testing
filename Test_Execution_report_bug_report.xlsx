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signments_projects\"/>
    </mc:Choice>
  </mc:AlternateContent>
  <xr:revisionPtr revIDLastSave="0" documentId="13_ncr:1_{94889D68-2AD5-47FB-8385-9C9163FD5256}" xr6:coauthVersionLast="47" xr6:coauthVersionMax="47" xr10:uidLastSave="{00000000-0000-0000-0000-000000000000}"/>
  <bookViews>
    <workbookView xWindow="-110" yWindow="-110" windowWidth="19420" windowHeight="10300" xr2:uid="{080FF669-34B4-445E-96C0-527AC0A973EB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2" i="1" l="1"/>
  <c r="O13" i="1"/>
  <c r="O15" i="1"/>
  <c r="O19" i="1"/>
  <c r="O20" i="1"/>
  <c r="O21" i="1"/>
  <c r="E16" i="2"/>
  <c r="F16" i="2"/>
  <c r="F17" i="2" s="1"/>
  <c r="G16" i="2"/>
  <c r="D16" i="2"/>
  <c r="J15" i="2" s="1"/>
  <c r="K4" i="1"/>
  <c r="K3" i="1"/>
  <c r="D17" i="2" l="1"/>
  <c r="J17" i="2" s="1"/>
  <c r="I17" i="2"/>
  <c r="H17" i="2"/>
  <c r="K5" i="1"/>
</calcChain>
</file>

<file path=xl/sharedStrings.xml><?xml version="1.0" encoding="utf-8"?>
<sst xmlns="http://schemas.openxmlformats.org/spreadsheetml/2006/main" count="210" uniqueCount="139">
  <si>
    <t>TC Start Date</t>
  </si>
  <si>
    <t>18/10/2025</t>
  </si>
  <si>
    <t>Module Name</t>
  </si>
  <si>
    <t>Search</t>
  </si>
  <si>
    <t>TC End Date</t>
  </si>
  <si>
    <t>Test Case Developed By</t>
  </si>
  <si>
    <t>Amin Ocin</t>
  </si>
  <si>
    <t>Developer Name (TL)</t>
  </si>
  <si>
    <t>Test Case Reviewed By</t>
  </si>
  <si>
    <t>Test_Case_ID</t>
  </si>
  <si>
    <t>Section</t>
  </si>
  <si>
    <t>Test Scenario</t>
  </si>
  <si>
    <t>Preconditions</t>
  </si>
  <si>
    <t xml:space="preserve">Test Steps </t>
  </si>
  <si>
    <t>Input Data</t>
  </si>
  <si>
    <t xml:space="preserve">Expected Outcome </t>
  </si>
  <si>
    <t>Test Environment</t>
  </si>
  <si>
    <t>Priority</t>
  </si>
  <si>
    <t>TC_01</t>
  </si>
  <si>
    <t>1. Navigate to the log in site</t>
  </si>
  <si>
    <t>Medium</t>
  </si>
  <si>
    <t>TC_02</t>
  </si>
  <si>
    <t>Verify that system shows message for no matched result</t>
  </si>
  <si>
    <t>1. Navigate to the log in site.           2. Search with random string</t>
  </si>
  <si>
    <t>yz123</t>
  </si>
  <si>
    <t>TC_03</t>
  </si>
  <si>
    <t>Verifythat search suggest Product based on typing</t>
  </si>
  <si>
    <t>N/A</t>
  </si>
  <si>
    <t>TC_04</t>
  </si>
  <si>
    <t>Verify that user can paste coppied words in search</t>
  </si>
  <si>
    <t>1.Navigate to the log in site            2. paste a coppied word in the search</t>
  </si>
  <si>
    <t>Should be able to paste coppied words</t>
  </si>
  <si>
    <t>High</t>
  </si>
  <si>
    <t>TC_05</t>
  </si>
  <si>
    <t>Verify that the typed keyword is highlighted in the search suggestions</t>
  </si>
  <si>
    <t>1.Navigate to the log in site            2. write keywords in th search</t>
  </si>
  <si>
    <t>Nike React</t>
  </si>
  <si>
    <t>Should highlight the keywords</t>
  </si>
  <si>
    <t>TC_06</t>
  </si>
  <si>
    <t>log in</t>
  </si>
  <si>
    <t>1.Navigate to the log in site            2.Check the search icon</t>
  </si>
  <si>
    <t>TC_07</t>
  </si>
  <si>
    <t xml:space="preserve">Verify that the search icon is palced at the top </t>
  </si>
  <si>
    <t>TC_08</t>
  </si>
  <si>
    <t>Verify that the search icon shows 'search' while hovering on it</t>
  </si>
  <si>
    <t>1.Navigate to the log in site            2.Hover on top of the search icon</t>
  </si>
  <si>
    <t>Should show 'search' while hoverring</t>
  </si>
  <si>
    <t>TC_09</t>
  </si>
  <si>
    <t>Verify that the search dropdown shows recent searchess</t>
  </si>
  <si>
    <t>1.Navigate to the log in site            2. click on the search icon          3. check  for recent searches</t>
  </si>
  <si>
    <t>TC_10</t>
  </si>
  <si>
    <t>verify that the voice input is present in the search option</t>
  </si>
  <si>
    <t>1.Navigate to the log in site            2. click on the search icon          3. check  for the voice search</t>
  </si>
  <si>
    <t>Should be peresent</t>
  </si>
  <si>
    <t>Actual outcome</t>
  </si>
  <si>
    <t>Status</t>
  </si>
  <si>
    <t>Verify that the search can handle typo</t>
  </si>
  <si>
    <t>1. Navigate to the log in site.           2. Search with typo</t>
  </si>
  <si>
    <t>Failed</t>
  </si>
  <si>
    <t>Does not show any product</t>
  </si>
  <si>
    <t>Shows "there is no product to display" message</t>
  </si>
  <si>
    <t>Does not suggest</t>
  </si>
  <si>
    <t>Able to paste</t>
  </si>
  <si>
    <t>Doess not highlight</t>
  </si>
  <si>
    <t>Has the icon</t>
  </si>
  <si>
    <t>placed at the top</t>
  </si>
  <si>
    <t>Passed</t>
  </si>
  <si>
    <t>should be placed at the top</t>
  </si>
  <si>
    <t xml:space="preserve">Does not show anything while hovering </t>
  </si>
  <si>
    <t>Does not show anything  in the dropdown</t>
  </si>
  <si>
    <t>voice input is not present</t>
  </si>
  <si>
    <t>shows the exact message</t>
  </si>
  <si>
    <t>Nik</t>
  </si>
  <si>
    <t>Should suggesst product with 'nike' while typing</t>
  </si>
  <si>
    <t>Nike Zoom</t>
  </si>
  <si>
    <t>Low</t>
  </si>
  <si>
    <t>verify that the search feature has search icon</t>
  </si>
  <si>
    <t>should have the search icon</t>
  </si>
  <si>
    <t>https://demo.evershop.io/</t>
  </si>
  <si>
    <t>TEST CASE</t>
  </si>
  <si>
    <t>PASS</t>
  </si>
  <si>
    <t>FAIL</t>
  </si>
  <si>
    <t>Not Executed</t>
  </si>
  <si>
    <t>Total</t>
  </si>
  <si>
    <t>Test Case Report</t>
  </si>
  <si>
    <t xml:space="preserve">   Project Name   </t>
  </si>
  <si>
    <t xml:space="preserve">Module Name   </t>
  </si>
  <si>
    <t>Test Case Version</t>
  </si>
  <si>
    <t>v1</t>
  </si>
  <si>
    <t>Written By</t>
  </si>
  <si>
    <t>Executed By</t>
  </si>
  <si>
    <t>Reviewed By</t>
  </si>
  <si>
    <t>TEST EXECUTION REPORT</t>
  </si>
  <si>
    <t>Test Case</t>
  </si>
  <si>
    <t>Out Of Scope</t>
  </si>
  <si>
    <t>Total TC</t>
  </si>
  <si>
    <t>Individual Count</t>
  </si>
  <si>
    <t xml:space="preserve">Grand Total  </t>
  </si>
  <si>
    <t>Evershop</t>
  </si>
  <si>
    <t>Nikee</t>
  </si>
  <si>
    <t xml:space="preserve">Shows same output as  nike </t>
  </si>
  <si>
    <t>Bug Reporting</t>
  </si>
  <si>
    <t>Reproducing Steps:</t>
  </si>
  <si>
    <t>1. Navigate to the log in site.                                                   2. Search with a misspeling</t>
  </si>
  <si>
    <t>Module: Search</t>
  </si>
  <si>
    <r>
      <t>Priority:</t>
    </r>
    <r>
      <rPr>
        <sz val="10"/>
        <color rgb="FF000000"/>
        <rFont val="Calibri"/>
        <family val="2"/>
        <charset val="1"/>
      </rPr>
      <t xml:space="preserve"> HIgh</t>
    </r>
  </si>
  <si>
    <r>
      <t>Responsible QA:</t>
    </r>
    <r>
      <rPr>
        <sz val="10"/>
        <color rgb="FF000000"/>
        <rFont val="Calibri"/>
        <family val="2"/>
        <charset val="1"/>
      </rPr>
      <t xml:space="preserve"> Amin Ocin</t>
    </r>
  </si>
  <si>
    <t>Screenshot: Can't Handle misspelling</t>
  </si>
  <si>
    <t>Issue: Unable to handle misspelling and show highest matched products</t>
  </si>
  <si>
    <t># TC_ID 2</t>
  </si>
  <si>
    <t>1. Navigate to the log in site.                                             2. Search with products name.                                         3. Check for highlited words</t>
  </si>
  <si>
    <t>1. Navigate to the log in site.           2. Search with products name     3. Check for highlited words</t>
  </si>
  <si>
    <t># TC_ID 3</t>
  </si>
  <si>
    <t>Issue: Unable to Highlight the keywords while typing</t>
  </si>
  <si>
    <t>Screenshot: Does not highlight the keywords</t>
  </si>
  <si>
    <t>Issue:  Does not suggest produts while typing the searched products</t>
  </si>
  <si>
    <t>Screenshot: Does not suggest product while typing</t>
  </si>
  <si>
    <t>1. Navigate to the log in site.                                             2. Search with products name.                                         3. Check for suggestion</t>
  </si>
  <si>
    <t>Issue: Does not show 'search'while hoveringon the search icon</t>
  </si>
  <si>
    <t>1. Navigate to the log in site                                            2. Hover on top of the search icon</t>
  </si>
  <si>
    <r>
      <t>Priority:</t>
    </r>
    <r>
      <rPr>
        <sz val="10"/>
        <color rgb="FF000000"/>
        <rFont val="Calibri"/>
        <family val="2"/>
        <charset val="1"/>
      </rPr>
      <t xml:space="preserve"> Medium</t>
    </r>
  </si>
  <si>
    <r>
      <t>Priority:</t>
    </r>
    <r>
      <rPr>
        <sz val="10"/>
        <color rgb="FF000000"/>
        <rFont val="Calibri"/>
        <family val="2"/>
        <charset val="1"/>
      </rPr>
      <t xml:space="preserve"> Low</t>
    </r>
  </si>
  <si>
    <t>Screen Record: show nothing while hovering on search</t>
  </si>
  <si>
    <t>Should show the recent searches</t>
  </si>
  <si>
    <t>Issue:  Does not show recent searches in the dropdown</t>
  </si>
  <si>
    <t>Screenshot: Does not show recent searches</t>
  </si>
  <si>
    <t>1. Navigate to the log in site                                               2. Click on the search icon                                                 3. Check  for recent searches</t>
  </si>
  <si>
    <t>Issue:  Voice input icon is not present in the search</t>
  </si>
  <si>
    <t>1. Navigate to the log in site                                            2. Click on the search icon                                              3. Check  for the voice search</t>
  </si>
  <si>
    <t>Screenshot: Missing voice input icon</t>
  </si>
  <si>
    <t># TC_ID 10</t>
  </si>
  <si>
    <t># TC_ID 9</t>
  </si>
  <si>
    <t># TC_ID 8</t>
  </si>
  <si>
    <t># TC_ID 5</t>
  </si>
  <si>
    <t>Funtionality Test</t>
  </si>
  <si>
    <t>Functionality</t>
  </si>
  <si>
    <t>UI</t>
  </si>
  <si>
    <t>Project name</t>
  </si>
  <si>
    <t>Bug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</si>
</sst>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charset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2"/>
      <color rgb="FF000000"/>
      <name val="Times New Roman"/>
      <family val="1"/>
    </font>
    <font>
      <b/>
      <sz val="10"/>
      <name val="Verdana"/>
      <family val="2"/>
      <charset val="1"/>
    </font>
    <font>
      <b/>
      <sz val="10"/>
      <color rgb="FF000000"/>
      <name val="Verdana"/>
      <family val="2"/>
      <charset val="1"/>
    </font>
    <font>
      <sz val="10"/>
      <name val="Verdana"/>
      <family val="2"/>
      <charset val="1"/>
    </font>
    <font>
      <b/>
      <sz val="10"/>
      <color rgb="FFFFFFFF"/>
      <name val="Verdana"/>
      <family val="2"/>
      <charset val="1"/>
    </font>
    <font>
      <b/>
      <sz val="24"/>
      <color rgb="FFFFFFFF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0"/>
      <color rgb="FF000000"/>
      <name val="Arial"/>
      <family val="2"/>
      <charset val="1"/>
    </font>
    <font>
      <b/>
      <sz val="22"/>
      <name val="Times New Roman"/>
      <family val="1"/>
    </font>
    <font>
      <b/>
      <sz val="20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6"/>
      <color rgb="FF000000"/>
      <name val="Calibri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20"/>
      <name val="Times New Roman"/>
      <family val="1"/>
    </font>
    <font>
      <b/>
      <i/>
      <sz val="20"/>
      <color rgb="FF000000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DBEEF4"/>
        <bgColor rgb="FFDCE6F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2F2F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F2F2F2"/>
      </patternFill>
    </fill>
    <fill>
      <patternFill patternType="solid">
        <fgColor rgb="FFC00000"/>
        <bgColor rgb="FFF2F2F2"/>
      </patternFill>
    </fill>
    <fill>
      <patternFill patternType="solid">
        <fgColor theme="9" tint="0.39997558519241921"/>
        <bgColor rgb="FFF2F2F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6D9F0"/>
        <bgColor rgb="FFB6DDE8"/>
      </patternFill>
    </fill>
    <fill>
      <patternFill patternType="solid">
        <fgColor rgb="FF00FF00"/>
        <bgColor rgb="FF99FF66"/>
      </patternFill>
    </fill>
    <fill>
      <patternFill patternType="solid">
        <fgColor rgb="FFD6E3BC"/>
        <bgColor rgb="FFD9EAD3"/>
      </patternFill>
    </fill>
    <fill>
      <patternFill patternType="solid">
        <fgColor rgb="FFFF0000"/>
        <bgColor rgb="FFCC4125"/>
      </patternFill>
    </fill>
    <fill>
      <patternFill patternType="solid">
        <fgColor rgb="FFFFFF00"/>
        <bgColor rgb="FFFFC000"/>
      </patternFill>
    </fill>
    <fill>
      <patternFill patternType="solid">
        <fgColor rgb="FF0070C0"/>
        <bgColor rgb="FF008080"/>
      </patternFill>
    </fill>
    <fill>
      <patternFill patternType="solid">
        <fgColor theme="7" tint="0.59999389629810485"/>
        <bgColor rgb="FFD9D9D9"/>
      </patternFill>
    </fill>
    <fill>
      <patternFill patternType="solid">
        <fgColor theme="5" tint="0.59999389629810485"/>
        <bgColor rgb="FFC6D9F0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C6D9F0"/>
      </patternFill>
    </fill>
    <fill>
      <patternFill patternType="solid">
        <fgColor theme="2" tint="-0.14999847407452621"/>
        <bgColor rgb="FFDBEEF4"/>
      </patternFill>
    </fill>
    <fill>
      <patternFill patternType="solid">
        <fgColor theme="4"/>
        <bgColor rgb="FF95B3D7"/>
      </patternFill>
    </fill>
    <fill>
      <patternFill patternType="solid">
        <fgColor theme="0"/>
        <bgColor rgb="FFD6E3BC"/>
      </patternFill>
    </fill>
    <fill>
      <patternFill patternType="solid">
        <fgColor theme="0"/>
        <bgColor rgb="FFC3D69B"/>
      </patternFill>
    </fill>
    <fill>
      <patternFill patternType="solid">
        <fgColor theme="0"/>
        <bgColor rgb="FFCC4125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E6B9B8"/>
      </patternFill>
    </fill>
    <fill>
      <patternFill patternType="solid">
        <fgColor theme="0"/>
        <bgColor rgb="FFFAC090"/>
      </patternFill>
    </fill>
    <fill>
      <patternFill patternType="solid">
        <fgColor theme="9" tint="0.79998168889431442"/>
        <bgColor rgb="FFFAC090"/>
      </patternFill>
    </fill>
    <fill>
      <patternFill patternType="solid">
        <fgColor rgb="FFFF0000"/>
        <bgColor rgb="FFFAC090"/>
      </patternFill>
    </fill>
    <fill>
      <patternFill patternType="solid">
        <fgColor rgb="FFE6B9B8"/>
        <bgColor rgb="FFFAC090"/>
      </patternFill>
    </fill>
    <fill>
      <patternFill patternType="solid">
        <fgColor theme="4" tint="0.39997558519241921"/>
        <bgColor rgb="FFFAC090"/>
      </patternFill>
    </fill>
    <fill>
      <patternFill patternType="solid">
        <fgColor rgb="FFC6391A"/>
        <bgColor rgb="FFE6B9B8"/>
      </patternFill>
    </fill>
    <fill>
      <patternFill patternType="solid">
        <fgColor rgb="FFF2F2F2"/>
        <bgColor rgb="FFEBF1DE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1" xfId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4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/>
    </xf>
    <xf numFmtId="0" fontId="8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/>
    </xf>
    <xf numFmtId="0" fontId="6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6" fillId="10" borderId="1" xfId="0" applyFont="1" applyFill="1" applyBorder="1" applyAlignment="1">
      <alignment horizontal="center" vertical="top" wrapText="1"/>
    </xf>
    <xf numFmtId="0" fontId="6" fillId="11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center" vertical="top" wrapText="1"/>
    </xf>
    <xf numFmtId="0" fontId="10" fillId="13" borderId="11" xfId="0" applyFont="1" applyFill="1" applyBorder="1" applyAlignment="1">
      <alignment horizontal="center" vertical="top" wrapText="1"/>
    </xf>
    <xf numFmtId="0" fontId="11" fillId="14" borderId="5" xfId="0" applyFont="1" applyFill="1" applyBorder="1" applyAlignment="1">
      <alignment horizontal="center" wrapText="1"/>
    </xf>
    <xf numFmtId="0" fontId="12" fillId="15" borderId="11" xfId="0" applyFont="1" applyFill="1" applyBorder="1" applyAlignment="1">
      <alignment horizontal="center" vertical="top" wrapText="1"/>
    </xf>
    <xf numFmtId="0" fontId="9" fillId="16" borderId="11" xfId="0" applyFont="1" applyFill="1" applyBorder="1" applyAlignment="1">
      <alignment horizontal="center" vertical="top" wrapText="1"/>
    </xf>
    <xf numFmtId="0" fontId="14" fillId="18" borderId="13" xfId="0" applyFont="1" applyFill="1" applyBorder="1" applyAlignment="1">
      <alignment horizontal="right"/>
    </xf>
    <xf numFmtId="0" fontId="14" fillId="18" borderId="14" xfId="0" applyFont="1" applyFill="1" applyBorder="1" applyAlignment="1">
      <alignment horizontal="right"/>
    </xf>
    <xf numFmtId="0" fontId="14" fillId="18" borderId="15" xfId="0" applyFont="1" applyFill="1" applyBorder="1" applyAlignment="1">
      <alignment horizontal="right"/>
    </xf>
    <xf numFmtId="0" fontId="0" fillId="3" borderId="0" xfId="0" applyFill="1"/>
    <xf numFmtId="0" fontId="14" fillId="20" borderId="0" xfId="0" applyFont="1" applyFill="1" applyAlignment="1">
      <alignment horizontal="right"/>
    </xf>
    <xf numFmtId="0" fontId="15" fillId="21" borderId="0" xfId="0" applyFont="1" applyFill="1" applyAlignment="1">
      <alignment horizontal="left" vertical="center" wrapText="1"/>
    </xf>
    <xf numFmtId="0" fontId="15" fillId="23" borderId="13" xfId="0" applyFont="1" applyFill="1" applyBorder="1" applyAlignment="1">
      <alignment horizontal="center" vertical="top" wrapText="1"/>
    </xf>
    <xf numFmtId="0" fontId="15" fillId="23" borderId="18" xfId="0" applyFont="1" applyFill="1" applyBorder="1" applyAlignment="1">
      <alignment horizontal="center" vertical="top" wrapText="1"/>
    </xf>
    <xf numFmtId="0" fontId="15" fillId="23" borderId="19" xfId="0" applyFont="1" applyFill="1" applyBorder="1" applyAlignment="1">
      <alignment horizontal="center" vertical="top" wrapText="1"/>
    </xf>
    <xf numFmtId="0" fontId="17" fillId="0" borderId="0" xfId="0" applyFont="1" applyAlignment="1">
      <alignment vertical="center"/>
    </xf>
    <xf numFmtId="0" fontId="14" fillId="30" borderId="14" xfId="0" applyFont="1" applyFill="1" applyBorder="1" applyAlignment="1">
      <alignment horizontal="center" vertical="center"/>
    </xf>
    <xf numFmtId="0" fontId="18" fillId="33" borderId="20" xfId="0" applyFont="1" applyFill="1" applyBorder="1" applyAlignment="1">
      <alignment horizontal="center"/>
    </xf>
    <xf numFmtId="0" fontId="18" fillId="34" borderId="3" xfId="0" applyFont="1" applyFill="1" applyBorder="1" applyAlignment="1">
      <alignment horizontal="center"/>
    </xf>
    <xf numFmtId="0" fontId="22" fillId="36" borderId="7" xfId="0" applyFont="1" applyFill="1" applyBorder="1" applyAlignment="1">
      <alignment vertical="top" wrapText="1"/>
    </xf>
    <xf numFmtId="0" fontId="21" fillId="36" borderId="7" xfId="0" applyFont="1" applyFill="1" applyBorder="1" applyAlignment="1">
      <alignment horizontal="left" vertical="center"/>
    </xf>
    <xf numFmtId="0" fontId="2" fillId="0" borderId="7" xfId="1" applyBorder="1"/>
    <xf numFmtId="0" fontId="21" fillId="36" borderId="21" xfId="0" applyFont="1" applyFill="1" applyBorder="1" applyAlignment="1">
      <alignment horizontal="left" vertical="center"/>
    </xf>
    <xf numFmtId="0" fontId="21" fillId="36" borderId="7" xfId="0" applyFont="1" applyFill="1" applyBorder="1" applyAlignment="1">
      <alignment vertical="center"/>
    </xf>
    <xf numFmtId="0" fontId="20" fillId="36" borderId="7" xfId="0" applyFont="1" applyFill="1" applyBorder="1" applyAlignment="1">
      <alignment horizontal="left" vertical="center" wrapText="1"/>
    </xf>
    <xf numFmtId="0" fontId="20" fillId="36" borderId="7" xfId="0" applyFont="1" applyFill="1" applyBorder="1" applyAlignment="1">
      <alignment vertical="center" wrapText="1"/>
    </xf>
    <xf numFmtId="0" fontId="23" fillId="29" borderId="7" xfId="0" applyFont="1" applyFill="1" applyBorder="1" applyAlignment="1">
      <alignment horizontal="left" vertical="center"/>
    </xf>
    <xf numFmtId="0" fontId="24" fillId="25" borderId="18" xfId="0" applyFont="1" applyFill="1" applyBorder="1" applyAlignment="1">
      <alignment horizontal="center" vertical="center"/>
    </xf>
    <xf numFmtId="0" fontId="24" fillId="26" borderId="18" xfId="0" applyFont="1" applyFill="1" applyBorder="1" applyAlignment="1">
      <alignment horizontal="center" vertical="center"/>
    </xf>
    <xf numFmtId="0" fontId="25" fillId="25" borderId="23" xfId="0" applyFont="1" applyFill="1" applyBorder="1" applyAlignment="1">
      <alignment horizontal="center" vertical="top"/>
    </xf>
    <xf numFmtId="0" fontId="25" fillId="25" borderId="23" xfId="0" applyFont="1" applyFill="1" applyBorder="1" applyAlignment="1">
      <alignment horizontal="center" vertical="center"/>
    </xf>
    <xf numFmtId="0" fontId="25" fillId="26" borderId="23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2" fillId="0" borderId="0" xfId="1" applyAlignment="1">
      <alignment vertical="center" wrapText="1"/>
    </xf>
    <xf numFmtId="0" fontId="9" fillId="12" borderId="9" xfId="0" applyFont="1" applyFill="1" applyBorder="1" applyAlignment="1">
      <alignment horizontal="center" wrapText="1"/>
    </xf>
    <xf numFmtId="0" fontId="9" fillId="12" borderId="10" xfId="0" applyFont="1" applyFill="1" applyBorder="1" applyAlignment="1">
      <alignment horizontal="center" wrapText="1"/>
    </xf>
    <xf numFmtId="0" fontId="5" fillId="0" borderId="6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18" fillId="31" borderId="28" xfId="0" applyFont="1" applyFill="1" applyBorder="1" applyAlignment="1">
      <alignment horizontal="center"/>
    </xf>
    <xf numFmtId="0" fontId="18" fillId="31" borderId="20" xfId="0" applyFont="1" applyFill="1" applyBorder="1" applyAlignment="1">
      <alignment horizontal="center"/>
    </xf>
    <xf numFmtId="0" fontId="18" fillId="32" borderId="28" xfId="0" applyFont="1" applyFill="1" applyBorder="1" applyAlignment="1">
      <alignment horizontal="center" wrapText="1"/>
    </xf>
    <xf numFmtId="0" fontId="18" fillId="32" borderId="20" xfId="0" applyFont="1" applyFill="1" applyBorder="1" applyAlignment="1">
      <alignment horizontal="center" wrapText="1"/>
    </xf>
    <xf numFmtId="0" fontId="14" fillId="24" borderId="29" xfId="0" applyFont="1" applyFill="1" applyBorder="1" applyAlignment="1">
      <alignment horizontal="center" vertical="center"/>
    </xf>
    <xf numFmtId="0" fontId="15" fillId="24" borderId="15" xfId="0" applyFont="1" applyFill="1" applyBorder="1" applyAlignment="1">
      <alignment horizontal="center" vertical="center"/>
    </xf>
    <xf numFmtId="0" fontId="26" fillId="27" borderId="6" xfId="0" applyFont="1" applyFill="1" applyBorder="1" applyAlignment="1">
      <alignment horizontal="center" vertical="center"/>
    </xf>
    <xf numFmtId="0" fontId="26" fillId="27" borderId="7" xfId="0" applyFont="1" applyFill="1" applyBorder="1" applyAlignment="1">
      <alignment horizontal="center" vertical="center"/>
    </xf>
    <xf numFmtId="0" fontId="26" fillId="28" borderId="6" xfId="0" applyFont="1" applyFill="1" applyBorder="1" applyAlignment="1">
      <alignment horizontal="center" vertical="center"/>
    </xf>
    <xf numFmtId="0" fontId="26" fillId="28" borderId="7" xfId="0" applyFont="1" applyFill="1" applyBorder="1" applyAlignment="1">
      <alignment horizontal="center" vertical="center"/>
    </xf>
    <xf numFmtId="0" fontId="27" fillId="29" borderId="24" xfId="0" applyFont="1" applyFill="1" applyBorder="1" applyAlignment="1">
      <alignment horizontal="center" vertical="center"/>
    </xf>
    <xf numFmtId="0" fontId="27" fillId="29" borderId="25" xfId="0" applyFont="1" applyFill="1" applyBorder="1" applyAlignment="1">
      <alignment horizontal="center" vertical="center"/>
    </xf>
    <xf numFmtId="0" fontId="15" fillId="23" borderId="26" xfId="0" applyFont="1" applyFill="1" applyBorder="1" applyAlignment="1">
      <alignment horizontal="center" vertical="top" wrapText="1"/>
    </xf>
    <xf numFmtId="0" fontId="15" fillId="23" borderId="27" xfId="0" applyFont="1" applyFill="1" applyBorder="1" applyAlignment="1">
      <alignment horizontal="center" vertical="top" wrapText="1"/>
    </xf>
    <xf numFmtId="0" fontId="15" fillId="19" borderId="16" xfId="0" applyFont="1" applyFill="1" applyBorder="1" applyAlignment="1">
      <alignment horizontal="left" vertical="center" wrapText="1"/>
    </xf>
    <xf numFmtId="0" fontId="16" fillId="22" borderId="17" xfId="0" applyFont="1" applyFill="1" applyBorder="1" applyAlignment="1">
      <alignment horizontal="center" vertical="center" wrapText="1"/>
    </xf>
    <xf numFmtId="0" fontId="13" fillId="17" borderId="12" xfId="0" applyFont="1" applyFill="1" applyBorder="1" applyAlignment="1">
      <alignment horizontal="center"/>
    </xf>
    <xf numFmtId="0" fontId="15" fillId="19" borderId="3" xfId="0" applyFont="1" applyFill="1" applyBorder="1" applyAlignment="1">
      <alignment horizontal="left" vertical="center" wrapText="1"/>
    </xf>
    <xf numFmtId="0" fontId="19" fillId="35" borderId="22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B4D-4524-A080-FC48F26B0D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B4D-4524-A080-FC48F26B0D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B4D-4524-A080-FC48F26B0D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B4D-4524-A080-FC48F26B0D5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Sheet2!$D$14:$G$15</c:f>
              <c:multiLvlStrCache>
                <c:ptCount val="4"/>
                <c:lvl>
                  <c:pt idx="0">
                    <c:v>Functionality</c:v>
                  </c:pt>
                  <c:pt idx="1">
                    <c:v>UI</c:v>
                  </c:pt>
                  <c:pt idx="2">
                    <c:v>Functionality</c:v>
                  </c:pt>
                  <c:pt idx="3">
                    <c:v>UI</c:v>
                  </c:pt>
                </c:lvl>
                <c:lvl>
                  <c:pt idx="0">
                    <c:v>PASS</c:v>
                  </c:pt>
                  <c:pt idx="2">
                    <c:v>FAIL</c:v>
                  </c:pt>
                </c:lvl>
              </c:multiLvlStrCache>
            </c:multiLvlStrRef>
          </c:cat>
          <c:val>
            <c:numRef>
              <c:f>Sheet2!$D$16:$G$16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8-48BC-8FBC-ACEF9C990D5B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B4D-4524-A080-FC48F26B0D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B4D-4524-A080-FC48F26B0D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B4D-4524-A080-FC48F26B0D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B4D-4524-A080-FC48F26B0D5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Sheet2!$D$14:$G$15</c:f>
              <c:multiLvlStrCache>
                <c:ptCount val="4"/>
                <c:lvl>
                  <c:pt idx="0">
                    <c:v>Functionality</c:v>
                  </c:pt>
                  <c:pt idx="1">
                    <c:v>UI</c:v>
                  </c:pt>
                  <c:pt idx="2">
                    <c:v>Functionality</c:v>
                  </c:pt>
                  <c:pt idx="3">
                    <c:v>UI</c:v>
                  </c:pt>
                </c:lvl>
                <c:lvl>
                  <c:pt idx="0">
                    <c:v>PASS</c:v>
                  </c:pt>
                  <c:pt idx="2">
                    <c:v>FAIL</c:v>
                  </c:pt>
                </c:lvl>
              </c:multiLvlStrCache>
            </c:multiLvlStrRef>
          </c:cat>
          <c:val>
            <c:numRef>
              <c:f>Sheet2!$D$17:$G$17</c:f>
              <c:numCache>
                <c:formatCode>General</c:formatCode>
                <c:ptCount val="4"/>
                <c:pt idx="0">
                  <c:v>4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B8-48BC-8FBC-ACEF9C990D5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60325</xdr:colOff>
      <xdr:row>6</xdr:row>
      <xdr:rowOff>73025</xdr:rowOff>
    </xdr:from>
    <xdr:to>
      <xdr:col>17</xdr:col>
      <xdr:colOff>365125</xdr:colOff>
      <xdr:row>17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5F3D5E-D0E7-C98D-E463-2C4711D40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evershop.i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WycsfdL_zqg8WhJMTtOrogtJ50iubEyu/view?usp=sharing" TargetMode="External"/><Relationship Id="rId2" Type="http://schemas.openxmlformats.org/officeDocument/2006/relationships/hyperlink" Target="https://drive.google.com/file/d/1h4afTby5ZfzMn0bvLcKXcKdJsQSHc3Hu/view?usp=sharing" TargetMode="External"/><Relationship Id="rId1" Type="http://schemas.openxmlformats.org/officeDocument/2006/relationships/hyperlink" Target="https://drive.google.com/file/d/1h8X-gCiL7m49CIWGwVkmQeG2DkpZdtTV/view?usp=sharing" TargetMode="External"/><Relationship Id="rId6" Type="http://schemas.openxmlformats.org/officeDocument/2006/relationships/hyperlink" Target="https://drive.google.com/file/d/1c_HZLEtZaZVjy2rUg9w0ubU63bEx92lP/view?usp=sharing" TargetMode="External"/><Relationship Id="rId5" Type="http://schemas.openxmlformats.org/officeDocument/2006/relationships/hyperlink" Target="https://drive.google.com/file/d/16OPYVS_lQDm-p190PwBPpy8J3qQU4wml/view?usp=sharing" TargetMode="External"/><Relationship Id="rId4" Type="http://schemas.openxmlformats.org/officeDocument/2006/relationships/hyperlink" Target="https://drive.google.com/file/d/1Knbuw4TCB1rMEq7UoijMvsYVNXg_ZAj6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8441-35E2-4DB3-A77A-27B00D342E6C}">
  <dimension ref="C1:O21"/>
  <sheetViews>
    <sheetView tabSelected="1" topLeftCell="C14" zoomScale="80" zoomScaleNormal="80" workbookViewId="0">
      <selection activeCell="F11" sqref="F11"/>
    </sheetView>
  </sheetViews>
  <sheetFormatPr defaultRowHeight="14.5" x14ac:dyDescent="0.35"/>
  <cols>
    <col min="4" max="4" width="11.54296875" customWidth="1"/>
    <col min="6" max="6" width="28.54296875" customWidth="1"/>
    <col min="7" max="7" width="15.81640625" customWidth="1"/>
    <col min="8" max="8" width="16.54296875" customWidth="1"/>
    <col min="9" max="9" width="14.1796875" customWidth="1"/>
    <col min="10" max="11" width="19.26953125" customWidth="1"/>
    <col min="12" max="12" width="10" style="25" customWidth="1"/>
    <col min="15" max="15" width="12.453125" customWidth="1"/>
  </cols>
  <sheetData>
    <row r="1" spans="3:15" ht="15" thickBot="1" x14ac:dyDescent="0.4"/>
    <row r="2" spans="3:15" ht="15" thickBot="1" x14ac:dyDescent="0.4">
      <c r="C2" s="68" t="s">
        <v>137</v>
      </c>
      <c r="D2" s="68"/>
      <c r="E2" s="1" t="s">
        <v>98</v>
      </c>
      <c r="F2" s="2" t="s">
        <v>0</v>
      </c>
      <c r="G2" s="3" t="s">
        <v>1</v>
      </c>
      <c r="J2" s="63" t="s">
        <v>79</v>
      </c>
      <c r="K2" s="64"/>
    </row>
    <row r="3" spans="3:15" ht="15" thickBot="1" x14ac:dyDescent="0.4">
      <c r="C3" s="68" t="s">
        <v>2</v>
      </c>
      <c r="D3" s="68"/>
      <c r="E3" s="4" t="s">
        <v>3</v>
      </c>
      <c r="F3" s="5" t="s">
        <v>4</v>
      </c>
      <c r="G3" s="6" t="s">
        <v>1</v>
      </c>
      <c r="J3" s="31" t="s">
        <v>80</v>
      </c>
      <c r="K3" s="32">
        <f>COUNTIF(L11:L25, "Passed")</f>
        <v>4</v>
      </c>
    </row>
    <row r="4" spans="3:15" ht="15" thickBot="1" x14ac:dyDescent="0.4">
      <c r="C4" s="69"/>
      <c r="D4" s="70"/>
      <c r="E4" s="7"/>
      <c r="F4" s="5" t="s">
        <v>5</v>
      </c>
      <c r="G4" s="7" t="s">
        <v>6</v>
      </c>
      <c r="J4" s="33" t="s">
        <v>81</v>
      </c>
      <c r="K4" s="32">
        <f>COUNTIF(L11:L25, "Failed")</f>
        <v>6</v>
      </c>
    </row>
    <row r="5" spans="3:15" ht="15" thickBot="1" x14ac:dyDescent="0.4">
      <c r="C5" s="71" t="s">
        <v>7</v>
      </c>
      <c r="D5" s="72"/>
      <c r="E5" s="7"/>
      <c r="F5" s="5" t="s">
        <v>8</v>
      </c>
      <c r="G5" s="7"/>
      <c r="J5" s="34" t="s">
        <v>83</v>
      </c>
      <c r="K5" s="32">
        <f>SUM(K3,K4)</f>
        <v>10</v>
      </c>
    </row>
    <row r="9" spans="3:15" x14ac:dyDescent="0.35">
      <c r="I9" s="8"/>
      <c r="N9" s="9"/>
    </row>
    <row r="10" spans="3:15" ht="15" x14ac:dyDescent="0.35">
      <c r="C10" s="10" t="s">
        <v>9</v>
      </c>
      <c r="D10" s="11"/>
      <c r="E10" s="10" t="s">
        <v>10</v>
      </c>
      <c r="F10" s="11" t="s">
        <v>11</v>
      </c>
      <c r="G10" s="11" t="s">
        <v>12</v>
      </c>
      <c r="H10" s="11" t="s">
        <v>13</v>
      </c>
      <c r="I10" s="11" t="s">
        <v>14</v>
      </c>
      <c r="J10" s="11" t="s">
        <v>15</v>
      </c>
      <c r="K10" s="11" t="s">
        <v>54</v>
      </c>
      <c r="L10" s="11" t="s">
        <v>55</v>
      </c>
      <c r="M10" s="11" t="s">
        <v>16</v>
      </c>
      <c r="N10" s="11" t="s">
        <v>17</v>
      </c>
      <c r="O10" s="61" t="s">
        <v>138</v>
      </c>
    </row>
    <row r="11" spans="3:15" ht="62" x14ac:dyDescent="0.35">
      <c r="C11" s="12" t="s">
        <v>18</v>
      </c>
      <c r="D11" s="74" t="s">
        <v>134</v>
      </c>
      <c r="E11" s="65" t="s">
        <v>3</v>
      </c>
      <c r="F11" s="13" t="s">
        <v>22</v>
      </c>
      <c r="G11" s="13" t="s">
        <v>19</v>
      </c>
      <c r="H11" s="13" t="s">
        <v>23</v>
      </c>
      <c r="I11" s="14" t="s">
        <v>24</v>
      </c>
      <c r="J11" s="13" t="s">
        <v>60</v>
      </c>
      <c r="K11" s="13" t="s">
        <v>71</v>
      </c>
      <c r="L11" s="26" t="s">
        <v>66</v>
      </c>
      <c r="M11" s="15" t="s">
        <v>78</v>
      </c>
      <c r="N11" s="16" t="s">
        <v>32</v>
      </c>
    </row>
    <row r="12" spans="3:15" ht="62" x14ac:dyDescent="0.35">
      <c r="C12" s="12" t="s">
        <v>21</v>
      </c>
      <c r="D12" s="75"/>
      <c r="E12" s="66"/>
      <c r="F12" s="13" t="s">
        <v>56</v>
      </c>
      <c r="G12" s="13" t="s">
        <v>19</v>
      </c>
      <c r="H12" s="13" t="s">
        <v>57</v>
      </c>
      <c r="I12" s="14" t="s">
        <v>99</v>
      </c>
      <c r="J12" s="13" t="s">
        <v>100</v>
      </c>
      <c r="K12" s="13" t="s">
        <v>59</v>
      </c>
      <c r="L12" s="27" t="s">
        <v>58</v>
      </c>
      <c r="M12" s="15" t="s">
        <v>78</v>
      </c>
      <c r="N12" s="16" t="s">
        <v>32</v>
      </c>
      <c r="O12" s="62" t="str">
        <f>HYPERLINK("#Sheet3!D3", "Sheet3, Cell D3")</f>
        <v>Sheet3, Cell D3</v>
      </c>
    </row>
    <row r="13" spans="3:15" ht="93" x14ac:dyDescent="0.35">
      <c r="C13" s="12" t="s">
        <v>25</v>
      </c>
      <c r="D13" s="75"/>
      <c r="E13" s="66"/>
      <c r="F13" s="13" t="s">
        <v>26</v>
      </c>
      <c r="G13" s="13" t="s">
        <v>19</v>
      </c>
      <c r="H13" s="13" t="s">
        <v>111</v>
      </c>
      <c r="I13" s="14" t="s">
        <v>72</v>
      </c>
      <c r="J13" s="17" t="s">
        <v>73</v>
      </c>
      <c r="K13" s="17" t="s">
        <v>61</v>
      </c>
      <c r="L13" s="27" t="s">
        <v>58</v>
      </c>
      <c r="M13" s="15" t="s">
        <v>78</v>
      </c>
      <c r="N13" s="16" t="s">
        <v>32</v>
      </c>
      <c r="O13" s="62" t="str">
        <f>HYPERLINK("#Sheet3!B3", "Sheet3, Cell B3")</f>
        <v>Sheet3, Cell B3</v>
      </c>
    </row>
    <row r="14" spans="3:15" ht="77.5" x14ac:dyDescent="0.35">
      <c r="C14" s="12" t="s">
        <v>28</v>
      </c>
      <c r="D14" s="75"/>
      <c r="E14" s="66"/>
      <c r="F14" s="13" t="s">
        <v>29</v>
      </c>
      <c r="G14" s="13" t="s">
        <v>19</v>
      </c>
      <c r="H14" s="13" t="s">
        <v>30</v>
      </c>
      <c r="I14" s="14" t="s">
        <v>74</v>
      </c>
      <c r="J14" s="17" t="s">
        <v>31</v>
      </c>
      <c r="K14" s="17" t="s">
        <v>62</v>
      </c>
      <c r="L14" s="28" t="s">
        <v>66</v>
      </c>
      <c r="M14" s="15" t="s">
        <v>78</v>
      </c>
      <c r="N14" s="16" t="s">
        <v>20</v>
      </c>
      <c r="O14" s="62"/>
    </row>
    <row r="15" spans="3:15" ht="62" x14ac:dyDescent="0.35">
      <c r="C15" s="12" t="s">
        <v>33</v>
      </c>
      <c r="D15" s="76"/>
      <c r="E15" s="66"/>
      <c r="F15" s="13" t="s">
        <v>34</v>
      </c>
      <c r="G15" s="13" t="s">
        <v>19</v>
      </c>
      <c r="H15" s="13" t="s">
        <v>35</v>
      </c>
      <c r="I15" s="14" t="s">
        <v>36</v>
      </c>
      <c r="J15" s="17" t="s">
        <v>37</v>
      </c>
      <c r="K15" s="17" t="s">
        <v>63</v>
      </c>
      <c r="L15" s="29" t="s">
        <v>58</v>
      </c>
      <c r="M15" s="15" t="s">
        <v>78</v>
      </c>
      <c r="N15" s="16" t="s">
        <v>20</v>
      </c>
      <c r="O15" s="62" t="str">
        <f>HYPERLINK("#Sheet3!F3", "Sheet3, Cell F3")</f>
        <v>Sheet3, Cell F3</v>
      </c>
    </row>
    <row r="16" spans="3:15" ht="15.5" x14ac:dyDescent="0.35">
      <c r="C16" s="18"/>
      <c r="D16" s="19"/>
      <c r="E16" s="66"/>
      <c r="F16" s="20"/>
      <c r="G16" s="20"/>
      <c r="H16" s="20"/>
      <c r="I16" s="21"/>
      <c r="J16" s="22"/>
      <c r="K16" s="22"/>
      <c r="L16" s="30"/>
      <c r="M16" s="23"/>
      <c r="N16" s="24"/>
      <c r="O16" s="62"/>
    </row>
    <row r="17" spans="3:15" ht="62" x14ac:dyDescent="0.35">
      <c r="C17" s="12" t="s">
        <v>38</v>
      </c>
      <c r="D17" s="73" t="s">
        <v>39</v>
      </c>
      <c r="E17" s="66"/>
      <c r="F17" s="13" t="s">
        <v>76</v>
      </c>
      <c r="G17" s="13" t="s">
        <v>19</v>
      </c>
      <c r="H17" s="13" t="s">
        <v>40</v>
      </c>
      <c r="I17" s="14" t="s">
        <v>27</v>
      </c>
      <c r="J17" s="17" t="s">
        <v>77</v>
      </c>
      <c r="K17" s="17" t="s">
        <v>64</v>
      </c>
      <c r="L17" s="28" t="s">
        <v>66</v>
      </c>
      <c r="M17" s="15" t="s">
        <v>78</v>
      </c>
      <c r="N17" s="16" t="s">
        <v>20</v>
      </c>
      <c r="O17" s="62"/>
    </row>
    <row r="18" spans="3:15" ht="62" x14ac:dyDescent="0.35">
      <c r="C18" s="12" t="s">
        <v>41</v>
      </c>
      <c r="D18" s="73"/>
      <c r="E18" s="66"/>
      <c r="F18" s="13" t="s">
        <v>42</v>
      </c>
      <c r="G18" s="13" t="s">
        <v>19</v>
      </c>
      <c r="H18" s="13" t="s">
        <v>40</v>
      </c>
      <c r="I18" s="14" t="s">
        <v>27</v>
      </c>
      <c r="J18" s="17" t="s">
        <v>67</v>
      </c>
      <c r="K18" s="17" t="s">
        <v>65</v>
      </c>
      <c r="L18" s="28" t="s">
        <v>66</v>
      </c>
      <c r="M18" s="15" t="s">
        <v>78</v>
      </c>
      <c r="N18" s="16" t="s">
        <v>75</v>
      </c>
      <c r="O18" s="62"/>
    </row>
    <row r="19" spans="3:15" ht="62" x14ac:dyDescent="0.35">
      <c r="C19" s="12" t="s">
        <v>43</v>
      </c>
      <c r="D19" s="73"/>
      <c r="E19" s="66"/>
      <c r="F19" s="13" t="s">
        <v>44</v>
      </c>
      <c r="G19" s="13" t="s">
        <v>19</v>
      </c>
      <c r="H19" s="13" t="s">
        <v>45</v>
      </c>
      <c r="I19" s="14" t="s">
        <v>27</v>
      </c>
      <c r="J19" s="17" t="s">
        <v>46</v>
      </c>
      <c r="K19" s="17" t="s">
        <v>68</v>
      </c>
      <c r="L19" s="29" t="s">
        <v>58</v>
      </c>
      <c r="M19" s="15" t="s">
        <v>78</v>
      </c>
      <c r="N19" s="16" t="s">
        <v>75</v>
      </c>
      <c r="O19" s="62" t="str">
        <f>HYPERLINK("#Sheet3!B18", "Sheet3, Cell B18")</f>
        <v>Sheet3, Cell B18</v>
      </c>
    </row>
    <row r="20" spans="3:15" ht="93" x14ac:dyDescent="0.35">
      <c r="C20" s="12" t="s">
        <v>47</v>
      </c>
      <c r="D20" s="73"/>
      <c r="E20" s="66"/>
      <c r="F20" s="13" t="s">
        <v>48</v>
      </c>
      <c r="G20" s="13" t="s">
        <v>19</v>
      </c>
      <c r="H20" s="13" t="s">
        <v>49</v>
      </c>
      <c r="I20" s="14" t="s">
        <v>27</v>
      </c>
      <c r="J20" s="17" t="s">
        <v>123</v>
      </c>
      <c r="K20" s="17" t="s">
        <v>69</v>
      </c>
      <c r="L20" s="29" t="s">
        <v>58</v>
      </c>
      <c r="M20" s="15" t="s">
        <v>78</v>
      </c>
      <c r="N20" s="16" t="s">
        <v>20</v>
      </c>
      <c r="O20" s="62" t="str">
        <f>HYPERLINK("#Sheet3!D18", "Sheet3, Cell D18")</f>
        <v>Sheet3, Cell D18</v>
      </c>
    </row>
    <row r="21" spans="3:15" ht="93" x14ac:dyDescent="0.35">
      <c r="C21" s="12" t="s">
        <v>50</v>
      </c>
      <c r="D21" s="73"/>
      <c r="E21" s="67"/>
      <c r="F21" s="13" t="s">
        <v>51</v>
      </c>
      <c r="G21" s="13" t="s">
        <v>19</v>
      </c>
      <c r="H21" s="13" t="s">
        <v>52</v>
      </c>
      <c r="I21" s="14" t="s">
        <v>27</v>
      </c>
      <c r="J21" s="17" t="s">
        <v>53</v>
      </c>
      <c r="K21" s="17" t="s">
        <v>70</v>
      </c>
      <c r="L21" s="29" t="s">
        <v>58</v>
      </c>
      <c r="M21" s="15" t="s">
        <v>78</v>
      </c>
      <c r="N21" s="16" t="s">
        <v>20</v>
      </c>
      <c r="O21" s="62" t="str">
        <f>HYPERLINK("#Sheet3!F18", "Sheet3, Cell F18")</f>
        <v>Sheet3, Cell F18</v>
      </c>
    </row>
  </sheetData>
  <mergeCells count="8">
    <mergeCell ref="J2:K2"/>
    <mergeCell ref="E11:E21"/>
    <mergeCell ref="C2:D2"/>
    <mergeCell ref="C3:D3"/>
    <mergeCell ref="C4:D4"/>
    <mergeCell ref="C5:D5"/>
    <mergeCell ref="D17:D21"/>
    <mergeCell ref="D11:D15"/>
  </mergeCells>
  <hyperlinks>
    <hyperlink ref="E2" r:id="rId1" xr:uid="{25F13051-6611-4CA3-8BF9-98DFB02BE90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394C6-C400-42BD-BD4C-02EF9C04FF60}">
  <dimension ref="B3:J17"/>
  <sheetViews>
    <sheetView topLeftCell="B7" workbookViewId="0">
      <selection activeCell="F17" sqref="F17:G17"/>
    </sheetView>
  </sheetViews>
  <sheetFormatPr defaultRowHeight="14.5" x14ac:dyDescent="0.35"/>
  <cols>
    <col min="1" max="1" width="6.36328125" customWidth="1"/>
    <col min="2" max="2" width="8.453125" customWidth="1"/>
    <col min="3" max="3" width="22" customWidth="1"/>
    <col min="4" max="4" width="16.1796875" customWidth="1"/>
    <col min="5" max="5" width="7.1796875" customWidth="1"/>
    <col min="6" max="6" width="14.08984375" customWidth="1"/>
    <col min="7" max="7" width="7.1796875" customWidth="1"/>
    <col min="8" max="8" width="10.26953125" customWidth="1"/>
  </cols>
  <sheetData>
    <row r="3" spans="2:10" ht="15" thickBot="1" x14ac:dyDescent="0.4"/>
    <row r="4" spans="2:10" ht="30.5" thickBot="1" x14ac:dyDescent="0.65">
      <c r="C4" s="93" t="s">
        <v>84</v>
      </c>
      <c r="D4" s="93"/>
      <c r="E4" s="93"/>
      <c r="F4" s="93"/>
      <c r="G4" s="93"/>
      <c r="H4" s="93"/>
      <c r="I4" s="93"/>
      <c r="J4" s="93"/>
    </row>
    <row r="5" spans="2:10" ht="18" thickBot="1" x14ac:dyDescent="0.4">
      <c r="C5" s="35" t="s">
        <v>85</v>
      </c>
      <c r="D5" s="94" t="s">
        <v>98</v>
      </c>
      <c r="E5" s="94"/>
      <c r="F5" s="94"/>
      <c r="G5" s="94"/>
      <c r="H5" s="94"/>
      <c r="I5" s="94"/>
      <c r="J5" s="94"/>
    </row>
    <row r="6" spans="2:10" ht="18" thickBot="1" x14ac:dyDescent="0.4">
      <c r="C6" s="36" t="s">
        <v>86</v>
      </c>
      <c r="D6" s="94" t="s">
        <v>3</v>
      </c>
      <c r="E6" s="94"/>
      <c r="F6" s="94"/>
      <c r="G6" s="94"/>
      <c r="H6" s="94"/>
      <c r="I6" s="94"/>
      <c r="J6" s="94"/>
    </row>
    <row r="7" spans="2:10" ht="18" thickBot="1" x14ac:dyDescent="0.4">
      <c r="C7" s="35" t="s">
        <v>87</v>
      </c>
      <c r="D7" s="94" t="s">
        <v>88</v>
      </c>
      <c r="E7" s="94"/>
      <c r="F7" s="94"/>
      <c r="G7" s="94"/>
      <c r="H7" s="94"/>
      <c r="I7" s="94"/>
      <c r="J7" s="94"/>
    </row>
    <row r="8" spans="2:10" ht="18" thickBot="1" x14ac:dyDescent="0.4">
      <c r="C8" s="35" t="s">
        <v>89</v>
      </c>
      <c r="D8" s="94" t="s">
        <v>6</v>
      </c>
      <c r="E8" s="94"/>
      <c r="F8" s="94"/>
      <c r="G8" s="94"/>
      <c r="H8" s="94"/>
      <c r="I8" s="94"/>
      <c r="J8" s="94"/>
    </row>
    <row r="9" spans="2:10" ht="18" thickBot="1" x14ac:dyDescent="0.4">
      <c r="C9" s="35" t="s">
        <v>90</v>
      </c>
      <c r="D9" s="94" t="s">
        <v>6</v>
      </c>
      <c r="E9" s="94"/>
      <c r="F9" s="94"/>
      <c r="G9" s="94"/>
      <c r="H9" s="94"/>
      <c r="I9" s="94"/>
      <c r="J9" s="94"/>
    </row>
    <row r="10" spans="2:10" ht="17.5" x14ac:dyDescent="0.35">
      <c r="C10" s="37" t="s">
        <v>91</v>
      </c>
      <c r="D10" s="91"/>
      <c r="E10" s="91"/>
      <c r="F10" s="91"/>
      <c r="G10" s="91"/>
      <c r="H10" s="91"/>
      <c r="I10" s="91"/>
      <c r="J10" s="91"/>
    </row>
    <row r="11" spans="2:10" ht="17.5" x14ac:dyDescent="0.35">
      <c r="B11" s="38"/>
      <c r="C11" s="39"/>
      <c r="D11" s="40"/>
      <c r="E11" s="40"/>
      <c r="F11" s="40"/>
      <c r="G11" s="40"/>
      <c r="H11" s="40"/>
      <c r="I11" s="40"/>
      <c r="J11" s="40"/>
    </row>
    <row r="12" spans="2:10" ht="15" thickBot="1" x14ac:dyDescent="0.4">
      <c r="C12" s="92" t="s">
        <v>92</v>
      </c>
      <c r="D12" s="92"/>
      <c r="E12" s="92"/>
      <c r="F12" s="92"/>
      <c r="G12" s="92"/>
      <c r="H12" s="92"/>
      <c r="I12" s="92"/>
      <c r="J12" s="92"/>
    </row>
    <row r="13" spans="2:10" ht="15" thickBot="1" x14ac:dyDescent="0.4">
      <c r="C13" s="92"/>
      <c r="D13" s="92"/>
      <c r="E13" s="92"/>
      <c r="F13" s="92"/>
      <c r="G13" s="92"/>
      <c r="H13" s="92"/>
      <c r="I13" s="92"/>
      <c r="J13" s="92"/>
    </row>
    <row r="14" spans="2:10" ht="30" x14ac:dyDescent="0.35">
      <c r="C14" s="41" t="s">
        <v>93</v>
      </c>
      <c r="D14" s="89" t="s">
        <v>80</v>
      </c>
      <c r="E14" s="90"/>
      <c r="F14" s="89" t="s">
        <v>81</v>
      </c>
      <c r="G14" s="90"/>
      <c r="H14" s="42" t="s">
        <v>82</v>
      </c>
      <c r="I14" s="42" t="s">
        <v>94</v>
      </c>
      <c r="J14" s="43" t="s">
        <v>95</v>
      </c>
    </row>
    <row r="15" spans="2:10" ht="25.5" customHeight="1" x14ac:dyDescent="0.35">
      <c r="B15" s="44"/>
      <c r="C15" s="81" t="s">
        <v>96</v>
      </c>
      <c r="D15" s="56" t="s">
        <v>135</v>
      </c>
      <c r="E15" s="56" t="s">
        <v>136</v>
      </c>
      <c r="F15" s="56" t="s">
        <v>135</v>
      </c>
      <c r="G15" s="57" t="s">
        <v>136</v>
      </c>
      <c r="H15" s="83">
        <v>0</v>
      </c>
      <c r="I15" s="85">
        <v>0</v>
      </c>
      <c r="J15" s="87">
        <f>SUM(D16,E16,F16,G16)</f>
        <v>10</v>
      </c>
    </row>
    <row r="16" spans="2:10" ht="17.5" x14ac:dyDescent="0.35">
      <c r="B16" s="44"/>
      <c r="C16" s="82"/>
      <c r="D16" s="58">
        <f>COUNTIF(Sheet1!L1:L15, "passed")</f>
        <v>2</v>
      </c>
      <c r="E16" s="59">
        <f>COUNTIF(Sheet1!L17:L22, "passed")</f>
        <v>2</v>
      </c>
      <c r="F16" s="59">
        <f>COUNTIF(Sheet1!L1:L15, "failed")</f>
        <v>3</v>
      </c>
      <c r="G16" s="60">
        <f>COUNTIF(Sheet1!L17:L22, "Failed")</f>
        <v>3</v>
      </c>
      <c r="H16" s="84"/>
      <c r="I16" s="86"/>
      <c r="J16" s="88"/>
    </row>
    <row r="17" spans="3:10" ht="28" thickBot="1" x14ac:dyDescent="0.6">
      <c r="C17" s="45" t="s">
        <v>97</v>
      </c>
      <c r="D17" s="77">
        <f>SUM(D16,E16)</f>
        <v>4</v>
      </c>
      <c r="E17" s="78"/>
      <c r="F17" s="79">
        <f>SUM(F16,G16)</f>
        <v>6</v>
      </c>
      <c r="G17" s="80"/>
      <c r="H17" s="46">
        <f>SUM(H15)</f>
        <v>0</v>
      </c>
      <c r="I17" s="46">
        <f>SUM(I15)</f>
        <v>0</v>
      </c>
      <c r="J17" s="47">
        <f>SUM(D17,F17)</f>
        <v>10</v>
      </c>
    </row>
  </sheetData>
  <mergeCells count="16">
    <mergeCell ref="D9:J9"/>
    <mergeCell ref="C4:J4"/>
    <mergeCell ref="D5:J5"/>
    <mergeCell ref="D6:J6"/>
    <mergeCell ref="D7:J7"/>
    <mergeCell ref="D8:J8"/>
    <mergeCell ref="J15:J16"/>
    <mergeCell ref="D14:E14"/>
    <mergeCell ref="F14:G14"/>
    <mergeCell ref="D10:J10"/>
    <mergeCell ref="C12:J13"/>
    <mergeCell ref="D17:E17"/>
    <mergeCell ref="F17:G17"/>
    <mergeCell ref="C15:C16"/>
    <mergeCell ref="H15:H16"/>
    <mergeCell ref="I15:I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3DF6A-BC3A-42F7-8CA4-36D9C240DB74}">
  <dimension ref="B2:F30"/>
  <sheetViews>
    <sheetView topLeftCell="A11" workbookViewId="0">
      <selection activeCell="D18" sqref="D18:D21"/>
    </sheetView>
  </sheetViews>
  <sheetFormatPr defaultRowHeight="14.5" x14ac:dyDescent="0.35"/>
  <cols>
    <col min="1" max="1" width="7.1796875" customWidth="1"/>
    <col min="2" max="2" width="45.7265625" customWidth="1"/>
    <col min="4" max="4" width="45.36328125" customWidth="1"/>
    <col min="6" max="6" width="44" customWidth="1"/>
  </cols>
  <sheetData>
    <row r="2" spans="2:6" ht="15" thickBot="1" x14ac:dyDescent="0.4"/>
    <row r="3" spans="2:6" ht="15" thickBot="1" x14ac:dyDescent="0.4">
      <c r="B3" s="95" t="s">
        <v>101</v>
      </c>
      <c r="D3" s="95" t="s">
        <v>101</v>
      </c>
      <c r="F3" s="95" t="s">
        <v>101</v>
      </c>
    </row>
    <row r="4" spans="2:6" ht="15" thickBot="1" x14ac:dyDescent="0.4">
      <c r="B4" s="95"/>
      <c r="D4" s="95"/>
      <c r="F4" s="95"/>
    </row>
    <row r="5" spans="2:6" ht="15" thickBot="1" x14ac:dyDescent="0.4">
      <c r="B5" s="95"/>
      <c r="D5" s="95"/>
      <c r="F5" s="95"/>
    </row>
    <row r="6" spans="2:6" ht="15" thickBot="1" x14ac:dyDescent="0.4">
      <c r="B6" s="95"/>
      <c r="D6" s="95"/>
      <c r="F6" s="95"/>
    </row>
    <row r="7" spans="2:6" ht="21" x14ac:dyDescent="0.35">
      <c r="B7" s="55" t="s">
        <v>109</v>
      </c>
      <c r="D7" s="55" t="s">
        <v>112</v>
      </c>
      <c r="F7" s="55" t="s">
        <v>133</v>
      </c>
    </row>
    <row r="8" spans="2:6" ht="33.5" customHeight="1" x14ac:dyDescent="0.35">
      <c r="B8" s="53" t="s">
        <v>108</v>
      </c>
      <c r="D8" s="53" t="s">
        <v>115</v>
      </c>
      <c r="F8" s="53" t="s">
        <v>113</v>
      </c>
    </row>
    <row r="9" spans="2:6" ht="15.5" x14ac:dyDescent="0.35">
      <c r="B9" s="54"/>
      <c r="D9" s="54"/>
      <c r="F9" s="54"/>
    </row>
    <row r="10" spans="2:6" x14ac:dyDescent="0.35">
      <c r="B10" s="52" t="s">
        <v>102</v>
      </c>
      <c r="D10" s="52" t="s">
        <v>102</v>
      </c>
      <c r="F10" s="52" t="s">
        <v>102</v>
      </c>
    </row>
    <row r="11" spans="2:6" ht="44.5" customHeight="1" x14ac:dyDescent="0.35">
      <c r="B11" s="48" t="s">
        <v>103</v>
      </c>
      <c r="D11" s="48" t="s">
        <v>117</v>
      </c>
      <c r="F11" s="48" t="s">
        <v>110</v>
      </c>
    </row>
    <row r="12" spans="2:6" x14ac:dyDescent="0.35">
      <c r="B12" s="49" t="s">
        <v>104</v>
      </c>
      <c r="D12" s="49" t="s">
        <v>104</v>
      </c>
      <c r="F12" s="49" t="s">
        <v>104</v>
      </c>
    </row>
    <row r="13" spans="2:6" x14ac:dyDescent="0.35">
      <c r="B13" s="49" t="s">
        <v>105</v>
      </c>
      <c r="D13" s="49" t="s">
        <v>105</v>
      </c>
      <c r="F13" s="49" t="s">
        <v>120</v>
      </c>
    </row>
    <row r="14" spans="2:6" x14ac:dyDescent="0.35">
      <c r="B14" s="50" t="s">
        <v>107</v>
      </c>
      <c r="D14" s="50" t="s">
        <v>116</v>
      </c>
      <c r="F14" s="50" t="s">
        <v>114</v>
      </c>
    </row>
    <row r="15" spans="2:6" ht="15" thickBot="1" x14ac:dyDescent="0.4">
      <c r="B15" s="51" t="s">
        <v>106</v>
      </c>
      <c r="D15" s="51" t="s">
        <v>106</v>
      </c>
      <c r="F15" s="51" t="s">
        <v>106</v>
      </c>
    </row>
    <row r="17" spans="2:6" ht="15" thickBot="1" x14ac:dyDescent="0.4"/>
    <row r="18" spans="2:6" ht="15" thickBot="1" x14ac:dyDescent="0.4">
      <c r="B18" s="95" t="s">
        <v>101</v>
      </c>
      <c r="D18" s="95" t="s">
        <v>101</v>
      </c>
      <c r="F18" s="95" t="s">
        <v>101</v>
      </c>
    </row>
    <row r="19" spans="2:6" ht="15" thickBot="1" x14ac:dyDescent="0.4">
      <c r="B19" s="95"/>
      <c r="D19" s="95"/>
      <c r="F19" s="95"/>
    </row>
    <row r="20" spans="2:6" ht="15" thickBot="1" x14ac:dyDescent="0.4">
      <c r="B20" s="95"/>
      <c r="D20" s="95"/>
      <c r="F20" s="95"/>
    </row>
    <row r="21" spans="2:6" ht="15" thickBot="1" x14ac:dyDescent="0.4">
      <c r="B21" s="95"/>
      <c r="D21" s="95"/>
      <c r="F21" s="95"/>
    </row>
    <row r="22" spans="2:6" ht="21" x14ac:dyDescent="0.35">
      <c r="B22" s="55" t="s">
        <v>132</v>
      </c>
      <c r="D22" s="55" t="s">
        <v>131</v>
      </c>
      <c r="F22" s="55" t="s">
        <v>130</v>
      </c>
    </row>
    <row r="23" spans="2:6" ht="31" x14ac:dyDescent="0.35">
      <c r="B23" s="53" t="s">
        <v>118</v>
      </c>
      <c r="D23" s="53" t="s">
        <v>124</v>
      </c>
      <c r="F23" s="53" t="s">
        <v>127</v>
      </c>
    </row>
    <row r="24" spans="2:6" ht="15.5" x14ac:dyDescent="0.35">
      <c r="B24" s="54"/>
      <c r="D24" s="54"/>
      <c r="F24" s="54"/>
    </row>
    <row r="25" spans="2:6" x14ac:dyDescent="0.35">
      <c r="B25" s="52" t="s">
        <v>102</v>
      </c>
      <c r="D25" s="52" t="s">
        <v>102</v>
      </c>
      <c r="F25" s="52" t="s">
        <v>102</v>
      </c>
    </row>
    <row r="26" spans="2:6" ht="43.5" x14ac:dyDescent="0.35">
      <c r="B26" s="48" t="s">
        <v>119</v>
      </c>
      <c r="D26" s="48" t="s">
        <v>126</v>
      </c>
      <c r="F26" s="48" t="s">
        <v>128</v>
      </c>
    </row>
    <row r="27" spans="2:6" x14ac:dyDescent="0.35">
      <c r="B27" s="49" t="s">
        <v>104</v>
      </c>
      <c r="D27" s="49" t="s">
        <v>104</v>
      </c>
      <c r="F27" s="49" t="s">
        <v>104</v>
      </c>
    </row>
    <row r="28" spans="2:6" x14ac:dyDescent="0.35">
      <c r="B28" s="49" t="s">
        <v>121</v>
      </c>
      <c r="D28" s="49" t="s">
        <v>105</v>
      </c>
      <c r="F28" s="49" t="s">
        <v>105</v>
      </c>
    </row>
    <row r="29" spans="2:6" x14ac:dyDescent="0.35">
      <c r="B29" s="50" t="s">
        <v>122</v>
      </c>
      <c r="D29" s="50" t="s">
        <v>125</v>
      </c>
      <c r="F29" s="50" t="s">
        <v>129</v>
      </c>
    </row>
    <row r="30" spans="2:6" ht="15" thickBot="1" x14ac:dyDescent="0.4">
      <c r="B30" s="51" t="s">
        <v>106</v>
      </c>
      <c r="D30" s="51" t="s">
        <v>106</v>
      </c>
      <c r="F30" s="51" t="s">
        <v>106</v>
      </c>
    </row>
  </sheetData>
  <mergeCells count="6">
    <mergeCell ref="B18:B21"/>
    <mergeCell ref="B3:B6"/>
    <mergeCell ref="D3:D6"/>
    <mergeCell ref="F3:F6"/>
    <mergeCell ref="D18:D21"/>
    <mergeCell ref="F18:F21"/>
  </mergeCells>
  <hyperlinks>
    <hyperlink ref="B14" r:id="rId1" xr:uid="{850E1A39-0A78-4D11-92E7-91AA38576000}"/>
    <hyperlink ref="D14" r:id="rId2" xr:uid="{99607A7C-4C49-4DF0-BE2E-A0EFD3E96D7E}"/>
    <hyperlink ref="F14" r:id="rId3" xr:uid="{363D5FE4-39A6-4C02-9EC1-55DD94E57FC5}"/>
    <hyperlink ref="B29" r:id="rId4" xr:uid="{A39FB174-4240-4051-9F23-10D6088BB1BC}"/>
    <hyperlink ref="D29" r:id="rId5" xr:uid="{BD6DA666-F661-4084-8240-D896901336BF}"/>
    <hyperlink ref="F29" r:id="rId6" xr:uid="{73D2DF48-261A-49E4-8C27-A39A3D3C4D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2025-10-20T13:01:33Z</dcterms:created>
  <dcterms:modified xsi:type="dcterms:W3CDTF">2025-10-22T17:20:56Z</dcterms:modified>
</cp:coreProperties>
</file>